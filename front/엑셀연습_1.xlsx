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W\Desktop\"/>
    </mc:Choice>
  </mc:AlternateContent>
  <bookViews>
    <workbookView xWindow="0" yWindow="0" windowWidth="28800" windowHeight="12285" activeTab="4"/>
  </bookViews>
  <sheets>
    <sheet name="가계부" sheetId="1" r:id="rId1"/>
    <sheet name="월간일정표" sheetId="2" r:id="rId2"/>
    <sheet name="성적표" sheetId="3" r:id="rId3"/>
    <sheet name="직원명단관리표" sheetId="4" r:id="rId4"/>
    <sheet name="재고관리표" sheetId="5" r:id="rId5"/>
  </sheets>
  <definedNames>
    <definedName name="_xlnm._FilterDatabase" localSheetId="3" hidden="1">직원명단관리표!$A$3:$E$12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5" l="1"/>
  <c r="F6" i="5"/>
  <c r="F7" i="5"/>
  <c r="F8" i="5"/>
  <c r="F9" i="5"/>
  <c r="F10" i="5"/>
  <c r="F11" i="5"/>
  <c r="F4" i="5"/>
  <c r="B19" i="5"/>
  <c r="B18" i="5"/>
  <c r="B17" i="5"/>
  <c r="B16" i="5"/>
  <c r="B15" i="5"/>
  <c r="B14" i="5"/>
  <c r="D12" i="3" l="1"/>
  <c r="E12" i="3"/>
  <c r="C12" i="3"/>
  <c r="D11" i="3"/>
  <c r="E11" i="3"/>
  <c r="D10" i="3"/>
  <c r="E10" i="3"/>
  <c r="C11" i="3"/>
  <c r="C10" i="3"/>
  <c r="G5" i="3"/>
  <c r="G6" i="3"/>
  <c r="G7" i="3"/>
  <c r="G8" i="3"/>
  <c r="G4" i="3"/>
  <c r="F5" i="3"/>
  <c r="F6" i="3"/>
  <c r="F7" i="3"/>
  <c r="F8" i="3"/>
  <c r="F4" i="3"/>
  <c r="D9" i="1" l="1"/>
  <c r="C9" i="1"/>
  <c r="C10" i="1" s="1"/>
</calcChain>
</file>

<file path=xl/sharedStrings.xml><?xml version="1.0" encoding="utf-8"?>
<sst xmlns="http://schemas.openxmlformats.org/spreadsheetml/2006/main" count="125" uniqueCount="121">
  <si>
    <t>나의 가계부</t>
    <phoneticPr fontId="2" type="noConversion"/>
  </si>
  <si>
    <t>날짜</t>
    <phoneticPr fontId="2" type="noConversion"/>
  </si>
  <si>
    <t>항목</t>
    <phoneticPr fontId="2" type="noConversion"/>
  </si>
  <si>
    <t>수입</t>
    <phoneticPr fontId="2" type="noConversion"/>
  </si>
  <si>
    <t>지출</t>
    <phoneticPr fontId="2" type="noConversion"/>
  </si>
  <si>
    <t>월급</t>
    <phoneticPr fontId="2" type="noConversion"/>
  </si>
  <si>
    <t>식비</t>
    <phoneticPr fontId="2" type="noConversion"/>
  </si>
  <si>
    <t>교통비</t>
    <phoneticPr fontId="2" type="noConversion"/>
  </si>
  <si>
    <t>부수입</t>
    <phoneticPr fontId="2" type="noConversion"/>
  </si>
  <si>
    <t>통신비</t>
    <phoneticPr fontId="2" type="noConversion"/>
  </si>
  <si>
    <t>잔액</t>
    <phoneticPr fontId="2" type="noConversion"/>
  </si>
  <si>
    <t>일</t>
    <phoneticPr fontId="2" type="noConversion"/>
  </si>
  <si>
    <t>월</t>
    <phoneticPr fontId="2" type="noConversion"/>
  </si>
  <si>
    <t>화</t>
    <phoneticPr fontId="2" type="noConversion"/>
  </si>
  <si>
    <t>수</t>
    <phoneticPr fontId="2" type="noConversion"/>
  </si>
  <si>
    <t>목</t>
    <phoneticPr fontId="2" type="noConversion"/>
  </si>
  <si>
    <t>금</t>
    <phoneticPr fontId="2" type="noConversion"/>
  </si>
  <si>
    <t>토</t>
    <phoneticPr fontId="2" type="noConversion"/>
  </si>
  <si>
    <t>2026년 1월</t>
    <phoneticPr fontId="2" type="noConversion"/>
  </si>
  <si>
    <r>
      <t xml:space="preserve">1 
</t>
    </r>
    <r>
      <rPr>
        <sz val="10"/>
        <color rgb="FFFF0000"/>
        <rFont val="맑은 고딕"/>
        <family val="3"/>
        <charset val="129"/>
        <scheme val="minor"/>
      </rPr>
      <t>신정</t>
    </r>
    <phoneticPr fontId="2" type="noConversion"/>
  </si>
  <si>
    <t>2
휴강</t>
    <phoneticPr fontId="2" type="noConversion"/>
  </si>
  <si>
    <t>5
 HTML</t>
    <phoneticPr fontId="2" type="noConversion"/>
  </si>
  <si>
    <t>6
HTML</t>
    <phoneticPr fontId="2" type="noConversion"/>
  </si>
  <si>
    <t>7
CSS</t>
    <phoneticPr fontId="2" type="noConversion"/>
  </si>
  <si>
    <t>8
CSS</t>
    <phoneticPr fontId="2" type="noConversion"/>
  </si>
  <si>
    <t>9
CSS</t>
    <phoneticPr fontId="2" type="noConversion"/>
  </si>
  <si>
    <t>12
CSS</t>
    <phoneticPr fontId="2" type="noConversion"/>
  </si>
  <si>
    <t>13
개인 
웹페이지 설계</t>
    <phoneticPr fontId="2" type="noConversion"/>
  </si>
  <si>
    <t>15
Javascript</t>
    <phoneticPr fontId="2" type="noConversion"/>
  </si>
  <si>
    <t>16
Javascript</t>
    <phoneticPr fontId="2" type="noConversion"/>
  </si>
  <si>
    <t>14
Javascript</t>
    <phoneticPr fontId="2" type="noConversion"/>
  </si>
  <si>
    <t>19
Javascript</t>
    <phoneticPr fontId="2" type="noConversion"/>
  </si>
  <si>
    <t>20
Javascript</t>
    <phoneticPr fontId="2" type="noConversion"/>
  </si>
  <si>
    <t>21
개인
웹페이지
만들기</t>
    <phoneticPr fontId="2" type="noConversion"/>
  </si>
  <si>
    <t>22
개인
웹페이지
만들기</t>
    <phoneticPr fontId="2" type="noConversion"/>
  </si>
  <si>
    <t>23
개인
웹페이지
만들기</t>
    <phoneticPr fontId="2" type="noConversion"/>
  </si>
  <si>
    <t>26
과정마무리
테스트</t>
    <phoneticPr fontId="2" type="noConversion"/>
  </si>
  <si>
    <t>2024학년도 2학기 성적표</t>
    <phoneticPr fontId="2" type="noConversion"/>
  </si>
  <si>
    <t>번호</t>
    <phoneticPr fontId="2" type="noConversion"/>
  </si>
  <si>
    <t>이름</t>
    <phoneticPr fontId="2" type="noConversion"/>
  </si>
  <si>
    <t>국어</t>
    <phoneticPr fontId="2" type="noConversion"/>
  </si>
  <si>
    <t>영어</t>
    <phoneticPr fontId="2" type="noConversion"/>
  </si>
  <si>
    <t>수학</t>
    <phoneticPr fontId="2" type="noConversion"/>
  </si>
  <si>
    <t>총점</t>
    <phoneticPr fontId="2" type="noConversion"/>
  </si>
  <si>
    <t>평균</t>
    <phoneticPr fontId="2" type="noConversion"/>
  </si>
  <si>
    <t>김민수</t>
    <phoneticPr fontId="2" type="noConversion"/>
  </si>
  <si>
    <t>이지은</t>
    <phoneticPr fontId="2" type="noConversion"/>
  </si>
  <si>
    <t>박철수</t>
    <phoneticPr fontId="2" type="noConversion"/>
  </si>
  <si>
    <t>정수진</t>
    <phoneticPr fontId="2" type="noConversion"/>
  </si>
  <si>
    <t>최영호</t>
    <phoneticPr fontId="2" type="noConversion"/>
  </si>
  <si>
    <t>최고점</t>
    <phoneticPr fontId="2" type="noConversion"/>
  </si>
  <si>
    <t>최저점</t>
    <phoneticPr fontId="2" type="noConversion"/>
  </si>
  <si>
    <r>
      <t>평균</t>
    </r>
    <r>
      <rPr>
        <sz val="8"/>
        <color theme="1"/>
        <rFont val="맑은 고딕"/>
        <family val="3"/>
        <charset val="129"/>
        <scheme val="minor"/>
      </rPr>
      <t>(과목별)</t>
    </r>
    <phoneticPr fontId="2" type="noConversion"/>
  </si>
  <si>
    <t>직원명단</t>
    <phoneticPr fontId="2" type="noConversion"/>
  </si>
  <si>
    <t>사번</t>
    <phoneticPr fontId="2" type="noConversion"/>
  </si>
  <si>
    <t>이름</t>
    <phoneticPr fontId="2" type="noConversion"/>
  </si>
  <si>
    <t>부서</t>
    <phoneticPr fontId="2" type="noConversion"/>
  </si>
  <si>
    <t>직급</t>
    <phoneticPr fontId="2" type="noConversion"/>
  </si>
  <si>
    <t>입사일</t>
    <phoneticPr fontId="2" type="noConversion"/>
  </si>
  <si>
    <t>김민수</t>
    <phoneticPr fontId="2" type="noConversion"/>
  </si>
  <si>
    <t>이지은</t>
    <phoneticPr fontId="2" type="noConversion"/>
  </si>
  <si>
    <t>박철수</t>
    <phoneticPr fontId="2" type="noConversion"/>
  </si>
  <si>
    <t>정수진</t>
    <phoneticPr fontId="2" type="noConversion"/>
  </si>
  <si>
    <t>최영호</t>
    <phoneticPr fontId="2" type="noConversion"/>
  </si>
  <si>
    <t>강미래</t>
    <phoneticPr fontId="2" type="noConversion"/>
  </si>
  <si>
    <t>윤서준</t>
    <phoneticPr fontId="2" type="noConversion"/>
  </si>
  <si>
    <t>한소희</t>
    <phoneticPr fontId="2" type="noConversion"/>
  </si>
  <si>
    <t>장동건</t>
    <phoneticPr fontId="2" type="noConversion"/>
  </si>
  <si>
    <t>영업팀</t>
    <phoneticPr fontId="2" type="noConversion"/>
  </si>
  <si>
    <t>기획팀</t>
    <phoneticPr fontId="2" type="noConversion"/>
  </si>
  <si>
    <t>영업팀</t>
    <phoneticPr fontId="2" type="noConversion"/>
  </si>
  <si>
    <t>개발팀</t>
    <phoneticPr fontId="2" type="noConversion"/>
  </si>
  <si>
    <t>기획팀</t>
    <phoneticPr fontId="2" type="noConversion"/>
  </si>
  <si>
    <t>개발팀</t>
    <phoneticPr fontId="2" type="noConversion"/>
  </si>
  <si>
    <t>인사팀</t>
    <phoneticPr fontId="2" type="noConversion"/>
  </si>
  <si>
    <t>과장</t>
    <phoneticPr fontId="2" type="noConversion"/>
  </si>
  <si>
    <t>차장</t>
    <phoneticPr fontId="2" type="noConversion"/>
  </si>
  <si>
    <t>부장</t>
    <phoneticPr fontId="2" type="noConversion"/>
  </si>
  <si>
    <t>과장</t>
    <phoneticPr fontId="2" type="noConversion"/>
  </si>
  <si>
    <t>과장</t>
    <phoneticPr fontId="2" type="noConversion"/>
  </si>
  <si>
    <t>대리</t>
    <phoneticPr fontId="2" type="noConversion"/>
  </si>
  <si>
    <t>주임</t>
  </si>
  <si>
    <t>과장</t>
  </si>
  <si>
    <t>재고관리표</t>
    <phoneticPr fontId="2" type="noConversion"/>
  </si>
  <si>
    <t>품목코드</t>
    <phoneticPr fontId="2" type="noConversion"/>
  </si>
  <si>
    <t>품목명</t>
    <phoneticPr fontId="2" type="noConversion"/>
  </si>
  <si>
    <t>카테고리</t>
    <phoneticPr fontId="2" type="noConversion"/>
  </si>
  <si>
    <t>현재재고</t>
    <phoneticPr fontId="2" type="noConversion"/>
  </si>
  <si>
    <t>안전재고</t>
    <phoneticPr fontId="2" type="noConversion"/>
  </si>
  <si>
    <t>상태</t>
    <phoneticPr fontId="2" type="noConversion"/>
  </si>
  <si>
    <t>p001</t>
    <phoneticPr fontId="2" type="noConversion"/>
  </si>
  <si>
    <t>p002</t>
    <phoneticPr fontId="2" type="noConversion"/>
  </si>
  <si>
    <t>p003</t>
  </si>
  <si>
    <t>p004</t>
  </si>
  <si>
    <t>p005</t>
  </si>
  <si>
    <t>p006</t>
  </si>
  <si>
    <t>p007</t>
  </si>
  <si>
    <t>p008</t>
  </si>
  <si>
    <t>노트북</t>
    <phoneticPr fontId="2" type="noConversion"/>
  </si>
  <si>
    <t>마우스</t>
    <phoneticPr fontId="2" type="noConversion"/>
  </si>
  <si>
    <t>의자</t>
    <phoneticPr fontId="2" type="noConversion"/>
  </si>
  <si>
    <t>책상</t>
    <phoneticPr fontId="2" type="noConversion"/>
  </si>
  <si>
    <t>모니터</t>
    <phoneticPr fontId="2" type="noConversion"/>
  </si>
  <si>
    <t>키보드</t>
    <phoneticPr fontId="2" type="noConversion"/>
  </si>
  <si>
    <t>책장</t>
    <phoneticPr fontId="2" type="noConversion"/>
  </si>
  <si>
    <t>프린터</t>
    <phoneticPr fontId="2" type="noConversion"/>
  </si>
  <si>
    <t>전자제품</t>
    <phoneticPr fontId="2" type="noConversion"/>
  </si>
  <si>
    <t>전자제품</t>
    <phoneticPr fontId="2" type="noConversion"/>
  </si>
  <si>
    <t>가구</t>
  </si>
  <si>
    <t>가구</t>
    <phoneticPr fontId="2" type="noConversion"/>
  </si>
  <si>
    <t>가구</t>
    <phoneticPr fontId="2" type="noConversion"/>
  </si>
  <si>
    <t>전자제품</t>
    <phoneticPr fontId="2" type="noConversion"/>
  </si>
  <si>
    <t>전자제품</t>
    <phoneticPr fontId="2" type="noConversion"/>
  </si>
  <si>
    <t>가구</t>
    <phoneticPr fontId="2" type="noConversion"/>
  </si>
  <si>
    <t>재고 현황 요약</t>
    <phoneticPr fontId="2" type="noConversion"/>
  </si>
  <si>
    <t>가구재고</t>
    <phoneticPr fontId="2" type="noConversion"/>
  </si>
  <si>
    <t>전자제품재고</t>
    <phoneticPr fontId="2" type="noConversion"/>
  </si>
  <si>
    <t>부족품목수</t>
    <phoneticPr fontId="2" type="noConversion"/>
  </si>
  <si>
    <t>총품목수</t>
    <phoneticPr fontId="2" type="noConversion"/>
  </si>
  <si>
    <t>가구  총 재고량</t>
    <phoneticPr fontId="2" type="noConversion"/>
  </si>
  <si>
    <t>전자제품 총 재고량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</si>
</sst>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mm&quot;월&quot;\ dd&quot;일&quot;"/>
    <numFmt numFmtId="177" formatCode="0.0_ "/>
  </numFmts>
  <fonts count="13" x14ac:knownFonts="1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20"/>
      <color theme="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1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176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8" borderId="1" xfId="0" applyFill="1" applyBorder="1">
      <alignment vertical="center"/>
    </xf>
    <xf numFmtId="0" fontId="0" fillId="8" borderId="3" xfId="0" applyFill="1" applyBorder="1">
      <alignment vertical="center"/>
    </xf>
    <xf numFmtId="0" fontId="0" fillId="8" borderId="6" xfId="0" applyFill="1" applyBorder="1">
      <alignment vertical="center"/>
    </xf>
    <xf numFmtId="0" fontId="0" fillId="8" borderId="7" xfId="0" applyFill="1" applyBorder="1">
      <alignment vertical="center"/>
    </xf>
    <xf numFmtId="0" fontId="6" fillId="6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10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1">
    <cellStyle name="표준" xfId="0" builtinId="0"/>
  </cellStyles>
  <dxfs count="9"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colors>
    <mruColors>
      <color rgb="FFFC9B4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activeCell="H7" sqref="H7"/>
    </sheetView>
  </sheetViews>
  <sheetFormatPr defaultRowHeight="16.5" x14ac:dyDescent="0.3"/>
  <cols>
    <col min="1" max="1" width="19.125" customWidth="1"/>
    <col min="2" max="2" width="9" customWidth="1"/>
    <col min="3" max="3" width="12.375" customWidth="1"/>
    <col min="4" max="4" width="12.125" customWidth="1"/>
  </cols>
  <sheetData>
    <row r="1" spans="1:4" ht="36.75" customHeight="1" x14ac:dyDescent="0.3">
      <c r="A1" s="2" t="s">
        <v>0</v>
      </c>
      <c r="B1" s="1"/>
    </row>
    <row r="3" spans="1:4" s="3" customFormat="1" x14ac:dyDescent="0.3">
      <c r="A3" s="7" t="s">
        <v>1</v>
      </c>
      <c r="B3" s="8" t="s">
        <v>2</v>
      </c>
      <c r="C3" s="8" t="s">
        <v>3</v>
      </c>
      <c r="D3" s="8" t="s">
        <v>4</v>
      </c>
    </row>
    <row r="4" spans="1:4" x14ac:dyDescent="0.3">
      <c r="A4" s="4">
        <v>45992</v>
      </c>
      <c r="B4" s="5" t="s">
        <v>5</v>
      </c>
      <c r="C4" s="6">
        <v>3000000</v>
      </c>
      <c r="D4" s="6"/>
    </row>
    <row r="5" spans="1:4" x14ac:dyDescent="0.3">
      <c r="A5" s="4">
        <v>45994</v>
      </c>
      <c r="B5" s="5" t="s">
        <v>6</v>
      </c>
      <c r="C5" s="6"/>
      <c r="D5" s="6">
        <v>50000</v>
      </c>
    </row>
    <row r="6" spans="1:4" x14ac:dyDescent="0.3">
      <c r="A6" s="4">
        <v>45996</v>
      </c>
      <c r="B6" s="5" t="s">
        <v>7</v>
      </c>
      <c r="C6" s="6"/>
      <c r="D6" s="6">
        <v>30000</v>
      </c>
    </row>
    <row r="7" spans="1:4" x14ac:dyDescent="0.3">
      <c r="A7" s="4">
        <v>46001</v>
      </c>
      <c r="B7" s="5" t="s">
        <v>8</v>
      </c>
      <c r="C7" s="6">
        <v>200000</v>
      </c>
      <c r="D7" s="6"/>
    </row>
    <row r="8" spans="1:4" ht="17.25" thickBot="1" x14ac:dyDescent="0.35">
      <c r="A8" s="11">
        <v>46006</v>
      </c>
      <c r="B8" s="12" t="s">
        <v>9</v>
      </c>
      <c r="C8" s="13"/>
      <c r="D8" s="13">
        <v>80000</v>
      </c>
    </row>
    <row r="9" spans="1:4" x14ac:dyDescent="0.3">
      <c r="A9" s="9"/>
      <c r="B9" s="9"/>
      <c r="C9" s="10">
        <f>SUM(C4:C8)</f>
        <v>3200000</v>
      </c>
      <c r="D9" s="10">
        <f>SUM(D4:D8)</f>
        <v>160000</v>
      </c>
    </row>
    <row r="10" spans="1:4" x14ac:dyDescent="0.3">
      <c r="A10" s="14" t="s">
        <v>10</v>
      </c>
      <c r="B10" s="15"/>
      <c r="C10" s="15">
        <f>C9-D9</f>
        <v>3040000</v>
      </c>
      <c r="D10" s="15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B8" sqref="B8"/>
    </sheetView>
  </sheetViews>
  <sheetFormatPr defaultRowHeight="16.5" x14ac:dyDescent="0.3"/>
  <cols>
    <col min="1" max="7" width="10" customWidth="1"/>
  </cols>
  <sheetData>
    <row r="1" spans="1:7" ht="38.25" customHeight="1" x14ac:dyDescent="0.3">
      <c r="A1" s="24" t="s">
        <v>18</v>
      </c>
      <c r="B1" s="25"/>
      <c r="C1" s="25"/>
      <c r="D1" s="25"/>
      <c r="E1" s="25"/>
      <c r="F1" s="25"/>
      <c r="G1" s="25"/>
    </row>
    <row r="2" spans="1:7" ht="20.25" customHeight="1" x14ac:dyDescent="0.3">
      <c r="A2" s="16" t="s">
        <v>11</v>
      </c>
      <c r="B2" s="16" t="s">
        <v>12</v>
      </c>
      <c r="C2" s="16" t="s">
        <v>13</v>
      </c>
      <c r="D2" s="16" t="s">
        <v>14</v>
      </c>
      <c r="E2" s="16" t="s">
        <v>15</v>
      </c>
      <c r="F2" s="16" t="s">
        <v>16</v>
      </c>
      <c r="G2" s="16" t="s">
        <v>17</v>
      </c>
    </row>
    <row r="3" spans="1:7" ht="60" customHeight="1" x14ac:dyDescent="0.3">
      <c r="A3" s="5"/>
      <c r="B3" s="5"/>
      <c r="C3" s="5"/>
      <c r="D3" s="5"/>
      <c r="E3" s="17" t="s">
        <v>19</v>
      </c>
      <c r="F3" s="17" t="s">
        <v>20</v>
      </c>
      <c r="G3" s="5">
        <v>3</v>
      </c>
    </row>
    <row r="4" spans="1:7" ht="60" customHeight="1" x14ac:dyDescent="0.3">
      <c r="A4" s="5">
        <v>4</v>
      </c>
      <c r="B4" s="17" t="s">
        <v>21</v>
      </c>
      <c r="C4" s="17" t="s">
        <v>22</v>
      </c>
      <c r="D4" s="17" t="s">
        <v>23</v>
      </c>
      <c r="E4" s="17" t="s">
        <v>24</v>
      </c>
      <c r="F4" s="17" t="s">
        <v>25</v>
      </c>
      <c r="G4" s="5">
        <v>10</v>
      </c>
    </row>
    <row r="5" spans="1:7" ht="60" customHeight="1" x14ac:dyDescent="0.3">
      <c r="A5" s="5">
        <v>11</v>
      </c>
      <c r="B5" s="17" t="s">
        <v>26</v>
      </c>
      <c r="C5" s="17" t="s">
        <v>27</v>
      </c>
      <c r="D5" s="17" t="s">
        <v>30</v>
      </c>
      <c r="E5" s="17" t="s">
        <v>28</v>
      </c>
      <c r="F5" s="17" t="s">
        <v>29</v>
      </c>
      <c r="G5" s="5">
        <v>17</v>
      </c>
    </row>
    <row r="6" spans="1:7" ht="60" customHeight="1" x14ac:dyDescent="0.3">
      <c r="A6" s="5">
        <v>18</v>
      </c>
      <c r="B6" s="17" t="s">
        <v>31</v>
      </c>
      <c r="C6" s="17" t="s">
        <v>32</v>
      </c>
      <c r="D6" s="17" t="s">
        <v>33</v>
      </c>
      <c r="E6" s="17" t="s">
        <v>34</v>
      </c>
      <c r="F6" s="17" t="s">
        <v>35</v>
      </c>
      <c r="G6" s="5">
        <v>24</v>
      </c>
    </row>
    <row r="7" spans="1:7" ht="60" customHeight="1" x14ac:dyDescent="0.3">
      <c r="A7" s="5">
        <v>25</v>
      </c>
      <c r="B7" s="17" t="s">
        <v>36</v>
      </c>
      <c r="C7" s="5">
        <v>27</v>
      </c>
      <c r="D7" s="5">
        <v>28</v>
      </c>
      <c r="E7" s="5">
        <v>29</v>
      </c>
      <c r="F7" s="5">
        <v>30</v>
      </c>
      <c r="G7" s="5">
        <v>31</v>
      </c>
    </row>
  </sheetData>
  <mergeCells count="1">
    <mergeCell ref="A1:G1"/>
  </mergeCells>
  <phoneticPr fontId="2" type="noConversion"/>
  <conditionalFormatting sqref="G3:G7">
    <cfRule type="expression" dxfId="8" priority="2">
      <formula>G3&lt;&gt;""</formula>
    </cfRule>
  </conditionalFormatting>
  <conditionalFormatting sqref="A3:A7">
    <cfRule type="expression" dxfId="7" priority="1">
      <formula>A3&lt;&gt;""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pane xSplit="1" topLeftCell="B1" activePane="topRight" state="frozen"/>
      <selection pane="topRight" activeCell="J10" sqref="J10"/>
    </sheetView>
  </sheetViews>
  <sheetFormatPr defaultRowHeight="16.5" x14ac:dyDescent="0.3"/>
  <cols>
    <col min="7" max="7" width="9.875" bestFit="1" customWidth="1"/>
  </cols>
  <sheetData>
    <row r="1" spans="1:7" ht="26.25" x14ac:dyDescent="0.3">
      <c r="A1" s="26" t="s">
        <v>37</v>
      </c>
      <c r="B1" s="27"/>
      <c r="C1" s="27"/>
      <c r="D1" s="27"/>
      <c r="E1" s="27"/>
      <c r="F1" s="27"/>
      <c r="G1" s="28"/>
    </row>
    <row r="3" spans="1:7" x14ac:dyDescent="0.3">
      <c r="A3" s="18" t="s">
        <v>38</v>
      </c>
      <c r="B3" s="18" t="s">
        <v>39</v>
      </c>
      <c r="C3" s="18" t="s">
        <v>40</v>
      </c>
      <c r="D3" s="18" t="s">
        <v>41</v>
      </c>
      <c r="E3" s="18" t="s">
        <v>42</v>
      </c>
      <c r="F3" s="18" t="s">
        <v>43</v>
      </c>
      <c r="G3" s="18" t="s">
        <v>44</v>
      </c>
    </row>
    <row r="4" spans="1:7" x14ac:dyDescent="0.3">
      <c r="A4" s="5">
        <v>1</v>
      </c>
      <c r="B4" s="5" t="s">
        <v>45</v>
      </c>
      <c r="C4" s="5">
        <v>85</v>
      </c>
      <c r="D4" s="5">
        <v>90</v>
      </c>
      <c r="E4" s="5">
        <v>78</v>
      </c>
      <c r="F4" s="5">
        <f>C4+D4+E4</f>
        <v>253</v>
      </c>
      <c r="G4" s="19">
        <f>AVERAGE(C4:E4)</f>
        <v>84.333333333333329</v>
      </c>
    </row>
    <row r="5" spans="1:7" x14ac:dyDescent="0.3">
      <c r="A5" s="5">
        <v>2</v>
      </c>
      <c r="B5" s="5" t="s">
        <v>46</v>
      </c>
      <c r="C5" s="5">
        <v>92</v>
      </c>
      <c r="D5" s="5">
        <v>88</v>
      </c>
      <c r="E5" s="5">
        <v>95</v>
      </c>
      <c r="F5" s="5">
        <f t="shared" ref="F5:F8" si="0">C5+D5+E5</f>
        <v>275</v>
      </c>
      <c r="G5" s="19">
        <f t="shared" ref="G5:G8" si="1">AVERAGE(C5:E5)</f>
        <v>91.666666666666671</v>
      </c>
    </row>
    <row r="6" spans="1:7" x14ac:dyDescent="0.3">
      <c r="A6" s="5">
        <v>3</v>
      </c>
      <c r="B6" s="5" t="s">
        <v>47</v>
      </c>
      <c r="C6" s="5">
        <v>78</v>
      </c>
      <c r="D6" s="5">
        <v>92</v>
      </c>
      <c r="E6" s="5">
        <v>85</v>
      </c>
      <c r="F6" s="5">
        <f t="shared" si="0"/>
        <v>255</v>
      </c>
      <c r="G6" s="19">
        <f t="shared" si="1"/>
        <v>85</v>
      </c>
    </row>
    <row r="7" spans="1:7" x14ac:dyDescent="0.3">
      <c r="A7" s="5">
        <v>4</v>
      </c>
      <c r="B7" s="5" t="s">
        <v>48</v>
      </c>
      <c r="C7" s="5">
        <v>88</v>
      </c>
      <c r="D7" s="5">
        <v>91</v>
      </c>
      <c r="E7" s="5">
        <v>89</v>
      </c>
      <c r="F7" s="5">
        <f t="shared" si="0"/>
        <v>268</v>
      </c>
      <c r="G7" s="19">
        <f t="shared" si="1"/>
        <v>89.333333333333329</v>
      </c>
    </row>
    <row r="8" spans="1:7" x14ac:dyDescent="0.3">
      <c r="A8" s="5">
        <v>5</v>
      </c>
      <c r="B8" s="5" t="s">
        <v>49</v>
      </c>
      <c r="C8" s="5">
        <v>95</v>
      </c>
      <c r="D8" s="5">
        <v>85</v>
      </c>
      <c r="E8" s="5">
        <v>92</v>
      </c>
      <c r="F8" s="5">
        <f t="shared" si="0"/>
        <v>272</v>
      </c>
      <c r="G8" s="19">
        <f t="shared" si="1"/>
        <v>90.666666666666671</v>
      </c>
    </row>
    <row r="9" spans="1:7" ht="17.25" thickBot="1" x14ac:dyDescent="0.35">
      <c r="A9" s="13"/>
      <c r="B9" s="13"/>
      <c r="C9" s="13"/>
      <c r="D9" s="13"/>
      <c r="E9" s="13"/>
      <c r="F9" s="13"/>
      <c r="G9" s="13"/>
    </row>
    <row r="10" spans="1:7" x14ac:dyDescent="0.3">
      <c r="A10" s="21" t="s">
        <v>50</v>
      </c>
      <c r="B10" s="21"/>
      <c r="C10" s="21">
        <f>MAX(C4:C8)</f>
        <v>95</v>
      </c>
      <c r="D10" s="21">
        <f t="shared" ref="D10:E10" si="2">MAX(D4:D8)</f>
        <v>92</v>
      </c>
      <c r="E10" s="21">
        <f t="shared" si="2"/>
        <v>95</v>
      </c>
      <c r="F10" s="23"/>
      <c r="G10" s="21"/>
    </row>
    <row r="11" spans="1:7" x14ac:dyDescent="0.3">
      <c r="A11" s="20" t="s">
        <v>51</v>
      </c>
      <c r="B11" s="20"/>
      <c r="C11" s="20">
        <f>MIN(C4:C8)</f>
        <v>78</v>
      </c>
      <c r="D11" s="20">
        <f t="shared" ref="D11:E11" si="3">MIN(D4:D8)</f>
        <v>85</v>
      </c>
      <c r="E11" s="20">
        <f t="shared" si="3"/>
        <v>78</v>
      </c>
      <c r="F11" s="22"/>
      <c r="G11" s="20"/>
    </row>
    <row r="12" spans="1:7" x14ac:dyDescent="0.3">
      <c r="A12" s="20" t="s">
        <v>52</v>
      </c>
      <c r="B12" s="20"/>
      <c r="C12" s="20">
        <f>AVERAGE(C4:C8)</f>
        <v>87.6</v>
      </c>
      <c r="D12" s="20">
        <f t="shared" ref="D12:E12" si="4">AVERAGE(D4:D8)</f>
        <v>89.2</v>
      </c>
      <c r="E12" s="20">
        <f t="shared" si="4"/>
        <v>87.8</v>
      </c>
      <c r="F12" s="22"/>
      <c r="G12" s="20"/>
    </row>
  </sheetData>
  <mergeCells count="1">
    <mergeCell ref="A1:G1"/>
  </mergeCells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activeCell="G6" sqref="G6"/>
    </sheetView>
  </sheetViews>
  <sheetFormatPr defaultColWidth="12.5" defaultRowHeight="16.5" x14ac:dyDescent="0.3"/>
  <sheetData>
    <row r="1" spans="1:5" ht="26.25" x14ac:dyDescent="0.3">
      <c r="A1" s="29" t="s">
        <v>53</v>
      </c>
      <c r="B1" s="29"/>
      <c r="C1" s="29"/>
      <c r="D1" s="29"/>
      <c r="E1" s="29"/>
    </row>
    <row r="3" spans="1:5" ht="19.5" customHeight="1" x14ac:dyDescent="0.3">
      <c r="A3" s="30" t="s">
        <v>54</v>
      </c>
      <c r="B3" s="30" t="s">
        <v>55</v>
      </c>
      <c r="C3" s="30" t="s">
        <v>56</v>
      </c>
      <c r="D3" s="30" t="s">
        <v>57</v>
      </c>
      <c r="E3" s="30" t="s">
        <v>58</v>
      </c>
    </row>
    <row r="4" spans="1:5" ht="19.5" customHeight="1" x14ac:dyDescent="0.3">
      <c r="A4" s="5">
        <v>1001</v>
      </c>
      <c r="B4" s="5" t="s">
        <v>59</v>
      </c>
      <c r="C4" s="5" t="s">
        <v>68</v>
      </c>
      <c r="D4" s="5" t="s">
        <v>82</v>
      </c>
      <c r="E4" s="31">
        <v>43905</v>
      </c>
    </row>
    <row r="5" spans="1:5" ht="19.5" customHeight="1" x14ac:dyDescent="0.3">
      <c r="A5" s="5">
        <v>1002</v>
      </c>
      <c r="B5" s="5" t="s">
        <v>60</v>
      </c>
      <c r="C5" s="5" t="s">
        <v>69</v>
      </c>
      <c r="D5" s="5" t="s">
        <v>75</v>
      </c>
      <c r="E5" s="31">
        <v>43282</v>
      </c>
    </row>
    <row r="6" spans="1:5" ht="19.5" customHeight="1" x14ac:dyDescent="0.3">
      <c r="A6" s="5">
        <v>1003</v>
      </c>
      <c r="B6" s="5" t="s">
        <v>61</v>
      </c>
      <c r="C6" s="5" t="s">
        <v>70</v>
      </c>
      <c r="D6" s="5" t="s">
        <v>81</v>
      </c>
      <c r="E6" s="31">
        <v>44936</v>
      </c>
    </row>
    <row r="7" spans="1:5" ht="19.5" customHeight="1" x14ac:dyDescent="0.3">
      <c r="A7" s="5">
        <v>1004</v>
      </c>
      <c r="B7" s="5" t="s">
        <v>62</v>
      </c>
      <c r="C7" s="5" t="s">
        <v>71</v>
      </c>
      <c r="D7" s="5" t="s">
        <v>76</v>
      </c>
      <c r="E7" s="31">
        <v>42510</v>
      </c>
    </row>
    <row r="8" spans="1:5" ht="19.5" customHeight="1" x14ac:dyDescent="0.3">
      <c r="A8" s="5">
        <v>1005</v>
      </c>
      <c r="B8" s="5" t="s">
        <v>63</v>
      </c>
      <c r="C8" s="5" t="s">
        <v>72</v>
      </c>
      <c r="D8" s="5" t="s">
        <v>80</v>
      </c>
      <c r="E8" s="31">
        <v>44440</v>
      </c>
    </row>
    <row r="9" spans="1:5" ht="19.5" customHeight="1" x14ac:dyDescent="0.3">
      <c r="A9" s="5">
        <v>1006</v>
      </c>
      <c r="B9" s="5" t="s">
        <v>64</v>
      </c>
      <c r="C9" s="5" t="s">
        <v>73</v>
      </c>
      <c r="D9" s="5" t="s">
        <v>79</v>
      </c>
      <c r="E9" s="31">
        <v>43510</v>
      </c>
    </row>
    <row r="10" spans="1:5" ht="19.5" customHeight="1" x14ac:dyDescent="0.3">
      <c r="A10" s="5">
        <v>1007</v>
      </c>
      <c r="B10" s="5" t="s">
        <v>65</v>
      </c>
      <c r="C10" s="5" t="s">
        <v>70</v>
      </c>
      <c r="D10" s="5" t="s">
        <v>78</v>
      </c>
      <c r="E10" s="31">
        <v>43069</v>
      </c>
    </row>
    <row r="11" spans="1:5" ht="19.5" customHeight="1" x14ac:dyDescent="0.3">
      <c r="A11" s="5">
        <v>1008</v>
      </c>
      <c r="B11" s="5" t="s">
        <v>66</v>
      </c>
      <c r="C11" s="5" t="s">
        <v>74</v>
      </c>
      <c r="D11" s="5" t="s">
        <v>81</v>
      </c>
      <c r="E11" s="31">
        <v>43910</v>
      </c>
    </row>
    <row r="12" spans="1:5" ht="19.5" customHeight="1" x14ac:dyDescent="0.3">
      <c r="A12" s="5">
        <v>1010</v>
      </c>
      <c r="B12" s="5" t="s">
        <v>67</v>
      </c>
      <c r="C12" s="5" t="s">
        <v>73</v>
      </c>
      <c r="D12" s="5" t="s">
        <v>77</v>
      </c>
      <c r="E12" s="31">
        <v>42009</v>
      </c>
    </row>
    <row r="13" spans="1:5" ht="19.5" customHeight="1" x14ac:dyDescent="0.3"/>
  </sheetData>
  <autoFilter ref="A3:E12"/>
  <sortState ref="A4:E13">
    <sortCondition ref="A4:A13"/>
  </sortState>
  <mergeCells count="1">
    <mergeCell ref="A1:E1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workbookViewId="0">
      <selection activeCell="I12" sqref="I12"/>
    </sheetView>
  </sheetViews>
  <sheetFormatPr defaultRowHeight="16.5" x14ac:dyDescent="0.3"/>
  <cols>
    <col min="1" max="6" width="17.625" customWidth="1"/>
  </cols>
  <sheetData>
    <row r="1" spans="1:6" ht="26.25" x14ac:dyDescent="0.3">
      <c r="A1" s="35" t="s">
        <v>83</v>
      </c>
      <c r="B1" s="32"/>
      <c r="C1" s="32"/>
      <c r="D1" s="32"/>
      <c r="E1" s="32"/>
      <c r="F1" s="32"/>
    </row>
    <row r="3" spans="1:6" x14ac:dyDescent="0.3">
      <c r="A3" s="33" t="s">
        <v>84</v>
      </c>
      <c r="B3" s="33" t="s">
        <v>85</v>
      </c>
      <c r="C3" s="33" t="s">
        <v>86</v>
      </c>
      <c r="D3" s="33" t="s">
        <v>87</v>
      </c>
      <c r="E3" s="33" t="s">
        <v>88</v>
      </c>
      <c r="F3" s="33" t="s">
        <v>89</v>
      </c>
    </row>
    <row r="4" spans="1:6" x14ac:dyDescent="0.3">
      <c r="A4" t="s">
        <v>90</v>
      </c>
      <c r="B4" t="s">
        <v>98</v>
      </c>
      <c r="C4" t="s">
        <v>106</v>
      </c>
      <c r="D4">
        <v>15</v>
      </c>
      <c r="E4">
        <v>20</v>
      </c>
      <c r="F4" t="str">
        <f>IF(D4&lt;E4*0.5,"긴급",IF(D4&lt;E4,"부족","정상"))</f>
        <v>부족</v>
      </c>
    </row>
    <row r="5" spans="1:6" x14ac:dyDescent="0.3">
      <c r="A5" t="s">
        <v>91</v>
      </c>
      <c r="B5" t="s">
        <v>99</v>
      </c>
      <c r="C5" t="s">
        <v>107</v>
      </c>
      <c r="D5">
        <v>50</v>
      </c>
      <c r="E5">
        <v>30</v>
      </c>
      <c r="F5" t="str">
        <f t="shared" ref="F5:F11" si="0">IF(D5&lt;E5*0.5,"긴급",IF(D5&lt;E5,"부족","정상"))</f>
        <v>정상</v>
      </c>
    </row>
    <row r="6" spans="1:6" x14ac:dyDescent="0.3">
      <c r="A6" t="s">
        <v>92</v>
      </c>
      <c r="B6" t="s">
        <v>100</v>
      </c>
      <c r="C6" t="s">
        <v>109</v>
      </c>
      <c r="D6">
        <v>8</v>
      </c>
      <c r="E6">
        <v>15</v>
      </c>
      <c r="F6" t="str">
        <f t="shared" si="0"/>
        <v>부족</v>
      </c>
    </row>
    <row r="7" spans="1:6" x14ac:dyDescent="0.3">
      <c r="A7" t="s">
        <v>93</v>
      </c>
      <c r="B7" t="s">
        <v>101</v>
      </c>
      <c r="C7" t="s">
        <v>110</v>
      </c>
      <c r="D7">
        <v>25</v>
      </c>
      <c r="E7">
        <v>20</v>
      </c>
      <c r="F7" t="str">
        <f t="shared" si="0"/>
        <v>정상</v>
      </c>
    </row>
    <row r="8" spans="1:6" x14ac:dyDescent="0.3">
      <c r="A8" t="s">
        <v>94</v>
      </c>
      <c r="B8" t="s">
        <v>102</v>
      </c>
      <c r="C8" t="s">
        <v>111</v>
      </c>
      <c r="D8">
        <v>12</v>
      </c>
      <c r="E8">
        <v>25</v>
      </c>
      <c r="F8" t="str">
        <f t="shared" si="0"/>
        <v>긴급</v>
      </c>
    </row>
    <row r="9" spans="1:6" x14ac:dyDescent="0.3">
      <c r="A9" t="s">
        <v>95</v>
      </c>
      <c r="B9" t="s">
        <v>103</v>
      </c>
      <c r="C9" t="s">
        <v>112</v>
      </c>
      <c r="D9">
        <v>40</v>
      </c>
      <c r="E9">
        <v>30</v>
      </c>
      <c r="F9" t="str">
        <f t="shared" si="0"/>
        <v>정상</v>
      </c>
    </row>
    <row r="10" spans="1:6" x14ac:dyDescent="0.3">
      <c r="A10" t="s">
        <v>96</v>
      </c>
      <c r="B10" t="s">
        <v>104</v>
      </c>
      <c r="C10" t="s">
        <v>113</v>
      </c>
      <c r="D10">
        <v>5</v>
      </c>
      <c r="E10">
        <v>10</v>
      </c>
      <c r="F10" t="str">
        <f t="shared" si="0"/>
        <v>부족</v>
      </c>
    </row>
    <row r="11" spans="1:6" x14ac:dyDescent="0.3">
      <c r="A11" t="s">
        <v>97</v>
      </c>
      <c r="B11" t="s">
        <v>105</v>
      </c>
      <c r="C11" t="s">
        <v>107</v>
      </c>
      <c r="D11">
        <v>18</v>
      </c>
      <c r="E11">
        <v>15</v>
      </c>
      <c r="F11" t="str">
        <f t="shared" si="0"/>
        <v>정상</v>
      </c>
    </row>
    <row r="12" spans="1:6" x14ac:dyDescent="0.3">
      <c r="C12" t="s">
        <v>108</v>
      </c>
    </row>
    <row r="13" spans="1:6" x14ac:dyDescent="0.3">
      <c r="A13" s="34" t="s">
        <v>114</v>
      </c>
      <c r="B13" s="34"/>
    </row>
    <row r="14" spans="1:6" x14ac:dyDescent="0.3">
      <c r="A14" t="s">
        <v>118</v>
      </c>
      <c r="B14">
        <f>COUNTA(A4:A11)</f>
        <v>8</v>
      </c>
    </row>
    <row r="15" spans="1:6" x14ac:dyDescent="0.3">
      <c r="A15" t="s">
        <v>117</v>
      </c>
      <c r="B15">
        <f>COUNTIF(F5:F11,"부족")</f>
        <v>2</v>
      </c>
    </row>
    <row r="16" spans="1:6" x14ac:dyDescent="0.3">
      <c r="A16" t="s">
        <v>116</v>
      </c>
      <c r="B16">
        <f>COUNTIF(C4:C11,"전자제품")</f>
        <v>5</v>
      </c>
    </row>
    <row r="17" spans="1:2" x14ac:dyDescent="0.3">
      <c r="A17" t="s">
        <v>115</v>
      </c>
      <c r="B17">
        <f>COUNTIF(C4:C11,"가구")</f>
        <v>3</v>
      </c>
    </row>
    <row r="18" spans="1:2" x14ac:dyDescent="0.3">
      <c r="A18" t="s">
        <v>120</v>
      </c>
      <c r="B18">
        <f>SUMIF(C4:C11, "전자제품", D4:D11)</f>
        <v>135</v>
      </c>
    </row>
    <row r="19" spans="1:2" x14ac:dyDescent="0.3">
      <c r="A19" t="s">
        <v>119</v>
      </c>
      <c r="B19">
        <f>SUMIF(C4:C11, "가구", D4:D11)</f>
        <v>38</v>
      </c>
    </row>
  </sheetData>
  <mergeCells count="2">
    <mergeCell ref="A1:F1"/>
    <mergeCell ref="A13:B13"/>
  </mergeCells>
  <phoneticPr fontId="2" type="noConversion"/>
  <conditionalFormatting sqref="F4:F11">
    <cfRule type="expression" dxfId="2" priority="3">
      <formula>F4="긴급"</formula>
    </cfRule>
  </conditionalFormatting>
  <conditionalFormatting sqref="F4:F11">
    <cfRule type="expression" dxfId="1" priority="2">
      <formula>F4="부족"</formula>
    </cfRule>
  </conditionalFormatting>
  <conditionalFormatting sqref="F4:F11">
    <cfRule type="expression" dxfId="0" priority="1">
      <formula>F4="정상"</formula>
    </cfRule>
  </conditionalFormatting>
  <dataValidations count="1">
    <dataValidation type="list" allowBlank="1" showInputMessage="1" showErrorMessage="1" sqref="C12">
      <formula1>"전자제품,가구"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가계부</vt:lpstr>
      <vt:lpstr>월간일정표</vt:lpstr>
      <vt:lpstr>성적표</vt:lpstr>
      <vt:lpstr>직원명단관리표</vt:lpstr>
      <vt:lpstr>재고관리표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2025-12-31T01:04:32Z</dcterms:created>
  <dcterms:modified xsi:type="dcterms:W3CDTF">2026-01-07T08:22:51Z</dcterms:modified>
</cp:coreProperties>
</file>